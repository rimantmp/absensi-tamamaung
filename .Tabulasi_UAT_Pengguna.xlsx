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" sheetId="1" state="visible" r:id="rId1"/>
    <sheet xmlns:r="http://schemas.openxmlformats.org/officeDocument/2006/relationships" name="Pernyataan" sheetId="2" state="visible" r:id="rId2"/>
    <sheet xmlns:r="http://schemas.openxmlformats.org/officeDocument/2006/relationships" name="Rekapitulasi Aspek" sheetId="3" state="visible" r:id="rId3"/>
    <sheet xmlns:r="http://schemas.openxmlformats.org/officeDocument/2006/relationships" name="Ringkasan &amp; Interpreta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i val="1"/>
      <sz val="10"/>
    </font>
    <font>
      <name val="Times New Roman"/>
      <b val="1"/>
      <sz val="10"/>
    </font>
    <font>
      <name val="Times New Roman"/>
      <b val="1"/>
      <sz val="13"/>
    </font>
    <font>
      <name val="Times New Roman"/>
      <b val="1"/>
      <sz val="11"/>
    </font>
    <font>
      <name val="Times New Roman"/>
      <sz val="10"/>
    </font>
    <font>
      <name val="Times New Roman"/>
      <b val="1"/>
      <sz val="12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cols>
    <col width="4.5" customWidth="1" min="1" max="1"/>
    <col width="20" customWidth="1" min="2" max="2"/>
    <col width="14" customWidth="1" min="3" max="3"/>
    <col width="12" customWidth="1" min="4" max="4"/>
    <col width="4.2" customWidth="1" min="5" max="5"/>
    <col width="4.2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8" customWidth="1" min="29" max="29"/>
    <col width="9" customWidth="1" min="30" max="30"/>
    <col width="14" customWidth="1" min="31" max="31"/>
  </cols>
  <sheetData>
    <row r="1">
      <c r="A1" s="1" t="inlineStr">
        <is>
          <t>KUESIONER UAT - TABULASI RESPONDEN</t>
        </is>
      </c>
    </row>
    <row r="2">
      <c r="A2" s="2" t="inlineStr">
        <is>
          <t>Sistem Absensi QR/Barcode - SD Inpres Tamamaung IV - Isi skor 1-5 di kolom K1 s.d. K24</t>
        </is>
      </c>
    </row>
    <row r="3">
      <c r="A3" s="3" t="inlineStr">
        <is>
          <t>No</t>
        </is>
      </c>
      <c r="B3" s="3" t="inlineStr">
        <is>
          <t>Nama Responden</t>
        </is>
      </c>
      <c r="C3" s="3" t="inlineStr">
        <is>
          <t>Peran</t>
        </is>
      </c>
      <c r="D3" s="3" t="inlineStr">
        <is>
          <t>Tanggal</t>
        </is>
      </c>
      <c r="E3" s="3" t="inlineStr">
        <is>
          <t>K1</t>
        </is>
      </c>
      <c r="F3" s="3" t="inlineStr">
        <is>
          <t>K2</t>
        </is>
      </c>
      <c r="G3" s="3" t="inlineStr">
        <is>
          <t>K3</t>
        </is>
      </c>
      <c r="H3" s="3" t="inlineStr">
        <is>
          <t>K4</t>
        </is>
      </c>
      <c r="I3" s="3" t="inlineStr">
        <is>
          <t>K5</t>
        </is>
      </c>
      <c r="J3" s="3" t="inlineStr">
        <is>
          <t>K6</t>
        </is>
      </c>
      <c r="K3" s="3" t="inlineStr">
        <is>
          <t>K7</t>
        </is>
      </c>
      <c r="L3" s="3" t="inlineStr">
        <is>
          <t>K8</t>
        </is>
      </c>
      <c r="M3" s="3" t="inlineStr">
        <is>
          <t>K9</t>
        </is>
      </c>
      <c r="N3" s="3" t="inlineStr">
        <is>
          <t>K10</t>
        </is>
      </c>
      <c r="O3" s="3" t="inlineStr">
        <is>
          <t>K11</t>
        </is>
      </c>
      <c r="P3" s="3" t="inlineStr">
        <is>
          <t>K12</t>
        </is>
      </c>
      <c r="Q3" s="3" t="inlineStr">
        <is>
          <t>K13</t>
        </is>
      </c>
      <c r="R3" s="3" t="inlineStr">
        <is>
          <t>K14</t>
        </is>
      </c>
      <c r="S3" s="3" t="inlineStr">
        <is>
          <t>K15</t>
        </is>
      </c>
      <c r="T3" s="3" t="inlineStr">
        <is>
          <t>K16</t>
        </is>
      </c>
      <c r="U3" s="3" t="inlineStr">
        <is>
          <t>K17</t>
        </is>
      </c>
      <c r="V3" s="3" t="inlineStr">
        <is>
          <t>K18</t>
        </is>
      </c>
      <c r="W3" s="3" t="inlineStr">
        <is>
          <t>K19</t>
        </is>
      </c>
      <c r="X3" s="3" t="inlineStr">
        <is>
          <t>K20</t>
        </is>
      </c>
      <c r="Y3" s="3" t="inlineStr">
        <is>
          <t>K21</t>
        </is>
      </c>
      <c r="Z3" s="3" t="inlineStr">
        <is>
          <t>K22</t>
        </is>
      </c>
      <c r="AA3" s="3" t="inlineStr">
        <is>
          <t>K23</t>
        </is>
      </c>
      <c r="AB3" s="3" t="inlineStr">
        <is>
          <t>K24</t>
        </is>
      </c>
      <c r="AC3" s="3" t="inlineStr">
        <is>
          <t>Total</t>
        </is>
      </c>
      <c r="AD3" s="3" t="inlineStr">
        <is>
          <t>Rata-Rata</t>
        </is>
      </c>
      <c r="AE3" s="3" t="inlineStr">
        <is>
          <t>Kategori</t>
        </is>
      </c>
      <c r="AF3" s="3" t="n"/>
      <c r="AG3" s="3" t="n"/>
      <c r="AH3" s="3" t="n"/>
    </row>
    <row r="4">
      <c r="A4" s="4" t="n">
        <v>1</v>
      </c>
      <c r="B4" s="5" t="n"/>
      <c r="C4" s="5" t="n"/>
      <c r="D4" s="5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>
        <f>SUM(E4:AB4)</f>
        <v/>
      </c>
      <c r="AD4" s="4">
        <f>IF(COUNT(E4:AB4)=0,"",ROUND(AVERAGE(E4:AB4),2))</f>
        <v/>
      </c>
      <c r="AE4" s="4">
        <f>IF(AD4="","",IF(AD4&gt;=3.41,"Baik",IF(AD4&gt;=2.61,"Cukup",IF(AD4&gt;=1.81,"Kurang","Sangat Kurang"))))</f>
        <v/>
      </c>
    </row>
    <row r="5">
      <c r="A5" s="4" t="n">
        <v>2</v>
      </c>
      <c r="B5" s="5" t="n"/>
      <c r="C5" s="5" t="n"/>
      <c r="D5" s="5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>
        <f>SUM(E5:AB5)</f>
        <v/>
      </c>
      <c r="AD5" s="4">
        <f>IF(COUNT(E5:AB5)=0,"",ROUND(AVERAGE(E5:AB5),2))</f>
        <v/>
      </c>
      <c r="AE5" s="4">
        <f>IF(AD5="","",IF(AD5&gt;=3.41,"Baik",IF(AD5&gt;=2.61,"Cukup",IF(AD5&gt;=1.81,"Kurang","Sangat Kurang"))))</f>
        <v/>
      </c>
    </row>
    <row r="6">
      <c r="A6" s="4" t="n">
        <v>3</v>
      </c>
      <c r="B6" s="5" t="n"/>
      <c r="C6" s="5" t="n"/>
      <c r="D6" s="5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>
        <f>SUM(E6:AB6)</f>
        <v/>
      </c>
      <c r="AD6" s="4">
        <f>IF(COUNT(E6:AB6)=0,"",ROUND(AVERAGE(E6:AB6),2))</f>
        <v/>
      </c>
      <c r="AE6" s="4">
        <f>IF(AD6="","",IF(AD6&gt;=3.41,"Baik",IF(AD6&gt;=2.61,"Cukup",IF(AD6&gt;=1.81,"Kurang","Sangat Kurang"))))</f>
        <v/>
      </c>
    </row>
    <row r="7">
      <c r="A7" s="4" t="n">
        <v>4</v>
      </c>
      <c r="B7" s="5" t="n"/>
      <c r="C7" s="5" t="n"/>
      <c r="D7" s="5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>
        <f>SUM(E7:AB7)</f>
        <v/>
      </c>
      <c r="AD7" s="4">
        <f>IF(COUNT(E7:AB7)=0,"",ROUND(AVERAGE(E7:AB7),2))</f>
        <v/>
      </c>
      <c r="AE7" s="4">
        <f>IF(AD7="","",IF(AD7&gt;=3.41,"Baik",IF(AD7&gt;=2.61,"Cukup",IF(AD7&gt;=1.81,"Kurang","Sangat Kurang"))))</f>
        <v/>
      </c>
    </row>
    <row r="8">
      <c r="A8" s="4" t="n">
        <v>5</v>
      </c>
      <c r="B8" s="5" t="n"/>
      <c r="C8" s="5" t="n"/>
      <c r="D8" s="5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>
        <f>SUM(E8:AB8)</f>
        <v/>
      </c>
      <c r="AD8" s="4">
        <f>IF(COUNT(E8:AB8)=0,"",ROUND(AVERAGE(E8:AB8),2))</f>
        <v/>
      </c>
      <c r="AE8" s="4">
        <f>IF(AD8="","",IF(AD8&gt;=3.41,"Baik",IF(AD8&gt;=2.61,"Cukup",IF(AD8&gt;=1.81,"Kurang","Sangat Kurang"))))</f>
        <v/>
      </c>
    </row>
    <row r="9">
      <c r="A9" s="4" t="n">
        <v>6</v>
      </c>
      <c r="B9" s="5" t="n"/>
      <c r="C9" s="5" t="n"/>
      <c r="D9" s="5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>
        <f>SUM(E9:AB9)</f>
        <v/>
      </c>
      <c r="AD9" s="4">
        <f>IF(COUNT(E9:AB9)=0,"",ROUND(AVERAGE(E9:AB9),2))</f>
        <v/>
      </c>
      <c r="AE9" s="4">
        <f>IF(AD9="","",IF(AD9&gt;=3.41,"Baik",IF(AD9&gt;=2.61,"Cukup",IF(AD9&gt;=1.81,"Kurang","Sangat Kurang"))))</f>
        <v/>
      </c>
    </row>
    <row r="10">
      <c r="A10" s="4" t="n">
        <v>7</v>
      </c>
      <c r="B10" s="5" t="n"/>
      <c r="C10" s="5" t="n"/>
      <c r="D10" s="5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>
        <f>SUM(E10:AB10)</f>
        <v/>
      </c>
      <c r="AD10" s="4">
        <f>IF(COUNT(E10:AB10)=0,"",ROUND(AVERAGE(E10:AB10),2))</f>
        <v/>
      </c>
      <c r="AE10" s="4">
        <f>IF(AD10="","",IF(AD10&gt;=3.41,"Baik",IF(AD10&gt;=2.61,"Cukup",IF(AD10&gt;=1.81,"Kurang","Sangat Kurang"))))</f>
        <v/>
      </c>
    </row>
    <row r="11">
      <c r="A11" s="4" t="n">
        <v>8</v>
      </c>
      <c r="B11" s="5" t="n"/>
      <c r="C11" s="5" t="n"/>
      <c r="D11" s="5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>
        <f>SUM(E11:AB11)</f>
        <v/>
      </c>
      <c r="AD11" s="4">
        <f>IF(COUNT(E11:AB11)=0,"",ROUND(AVERAGE(E11:AB11),2))</f>
        <v/>
      </c>
      <c r="AE11" s="4">
        <f>IF(AD11="","",IF(AD11&gt;=3.41,"Baik",IF(AD11&gt;=2.61,"Cukup",IF(AD11&gt;=1.81,"Kurang","Sangat Kurang"))))</f>
        <v/>
      </c>
    </row>
    <row r="12">
      <c r="A12" s="4" t="n">
        <v>9</v>
      </c>
      <c r="B12" s="5" t="n"/>
      <c r="C12" s="5" t="n"/>
      <c r="D12" s="5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>
        <f>SUM(E12:AB12)</f>
        <v/>
      </c>
      <c r="AD12" s="4">
        <f>IF(COUNT(E12:AB12)=0,"",ROUND(AVERAGE(E12:AB12),2))</f>
        <v/>
      </c>
      <c r="AE12" s="4">
        <f>IF(AD12="","",IF(AD12&gt;=3.41,"Baik",IF(AD12&gt;=2.61,"Cukup",IF(AD12&gt;=1.81,"Kurang","Sangat Kurang"))))</f>
        <v/>
      </c>
    </row>
    <row r="13">
      <c r="A13" s="4" t="n">
        <v>10</v>
      </c>
      <c r="B13" s="5" t="n"/>
      <c r="C13" s="5" t="n"/>
      <c r="D13" s="5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>
        <f>SUM(E13:AB13)</f>
        <v/>
      </c>
      <c r="AD13" s="4">
        <f>IF(COUNT(E13:AB13)=0,"",ROUND(AVERAGE(E13:AB13),2))</f>
        <v/>
      </c>
      <c r="AE13" s="4">
        <f>IF(AD13="","",IF(AD13&gt;=3.41,"Baik",IF(AD13&gt;=2.61,"Cukup",IF(AD13&gt;=1.81,"Kurang","Sangat Kurang"))))</f>
        <v/>
      </c>
    </row>
    <row r="14">
      <c r="A14" s="4" t="n">
        <v>11</v>
      </c>
      <c r="B14" s="5" t="n"/>
      <c r="C14" s="5" t="n"/>
      <c r="D14" s="5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>
        <f>SUM(E14:AB14)</f>
        <v/>
      </c>
      <c r="AD14" s="4">
        <f>IF(COUNT(E14:AB14)=0,"",ROUND(AVERAGE(E14:AB14),2))</f>
        <v/>
      </c>
      <c r="AE14" s="4">
        <f>IF(AD14="","",IF(AD14&gt;=3.41,"Baik",IF(AD14&gt;=2.61,"Cukup",IF(AD14&gt;=1.81,"Kurang","Sangat Kurang"))))</f>
        <v/>
      </c>
    </row>
    <row r="15">
      <c r="A15" s="4" t="n">
        <v>12</v>
      </c>
      <c r="B15" s="5" t="n"/>
      <c r="C15" s="5" t="n"/>
      <c r="D15" s="5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>
        <f>SUM(E15:AB15)</f>
        <v/>
      </c>
      <c r="AD15" s="4">
        <f>IF(COUNT(E15:AB15)=0,"",ROUND(AVERAGE(E15:AB15),2))</f>
        <v/>
      </c>
      <c r="AE15" s="4">
        <f>IF(AD15="","",IF(AD15&gt;=3.41,"Baik",IF(AD15&gt;=2.61,"Cukup",IF(AD15&gt;=1.81,"Kurang","Sangat Kurang"))))</f>
        <v/>
      </c>
    </row>
    <row r="16">
      <c r="A16" s="4" t="n">
        <v>13</v>
      </c>
      <c r="B16" s="5" t="n"/>
      <c r="C16" s="5" t="n"/>
      <c r="D16" s="5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>
        <f>SUM(E16:AB16)</f>
        <v/>
      </c>
      <c r="AD16" s="4">
        <f>IF(COUNT(E16:AB16)=0,"",ROUND(AVERAGE(E16:AB16),2))</f>
        <v/>
      </c>
      <c r="AE16" s="4">
        <f>IF(AD16="","",IF(AD16&gt;=3.41,"Baik",IF(AD16&gt;=2.61,"Cukup",IF(AD16&gt;=1.81,"Kurang","Sangat Kurang"))))</f>
        <v/>
      </c>
    </row>
    <row r="17">
      <c r="A17" s="4" t="n">
        <v>14</v>
      </c>
      <c r="B17" s="5" t="n"/>
      <c r="C17" s="5" t="n"/>
      <c r="D17" s="5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>
        <f>SUM(E17:AB17)</f>
        <v/>
      </c>
      <c r="AD17" s="4">
        <f>IF(COUNT(E17:AB17)=0,"",ROUND(AVERAGE(E17:AB17),2))</f>
        <v/>
      </c>
      <c r="AE17" s="4">
        <f>IF(AD17="","",IF(AD17&gt;=3.41,"Baik",IF(AD17&gt;=2.61,"Cukup",IF(AD17&gt;=1.81,"Kurang","Sangat Kurang"))))</f>
        <v/>
      </c>
    </row>
    <row r="18">
      <c r="A18" s="4" t="n">
        <v>15</v>
      </c>
      <c r="B18" s="5" t="n"/>
      <c r="C18" s="5" t="n"/>
      <c r="D18" s="5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>
        <f>SUM(E18:AB18)</f>
        <v/>
      </c>
      <c r="AD18" s="4">
        <f>IF(COUNT(E18:AB18)=0,"",ROUND(AVERAGE(E18:AB18),2))</f>
        <v/>
      </c>
      <c r="AE18" s="4">
        <f>IF(AD18="","",IF(AD18&gt;=3.41,"Baik",IF(AD18&gt;=2.61,"Cukup",IF(AD18&gt;=1.81,"Kurang","Sangat Kurang"))))</f>
        <v/>
      </c>
    </row>
    <row r="19">
      <c r="A19" s="4" t="n">
        <v>16</v>
      </c>
      <c r="B19" s="5" t="n"/>
      <c r="C19" s="5" t="n"/>
      <c r="D19" s="5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>
        <f>SUM(E19:AB19)</f>
        <v/>
      </c>
      <c r="AD19" s="4">
        <f>IF(COUNT(E19:AB19)=0,"",ROUND(AVERAGE(E19:AB19),2))</f>
        <v/>
      </c>
      <c r="AE19" s="4">
        <f>IF(AD19="","",IF(AD19&gt;=3.41,"Baik",IF(AD19&gt;=2.61,"Cukup",IF(AD19&gt;=1.81,"Kurang","Sangat Kurang"))))</f>
        <v/>
      </c>
    </row>
    <row r="20">
      <c r="A20" s="4" t="n">
        <v>17</v>
      </c>
      <c r="B20" s="5" t="n"/>
      <c r="C20" s="5" t="n"/>
      <c r="D20" s="5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>
        <f>SUM(E20:AB20)</f>
        <v/>
      </c>
      <c r="AD20" s="4">
        <f>IF(COUNT(E20:AB20)=0,"",ROUND(AVERAGE(E20:AB20),2))</f>
        <v/>
      </c>
      <c r="AE20" s="4">
        <f>IF(AD20="","",IF(AD20&gt;=3.41,"Baik",IF(AD20&gt;=2.61,"Cukup",IF(AD20&gt;=1.81,"Kurang","Sangat Kurang"))))</f>
        <v/>
      </c>
    </row>
    <row r="21">
      <c r="A21" s="4" t="n">
        <v>18</v>
      </c>
      <c r="B21" s="5" t="n"/>
      <c r="C21" s="5" t="n"/>
      <c r="D21" s="5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>
        <f>SUM(E21:AB21)</f>
        <v/>
      </c>
      <c r="AD21" s="4">
        <f>IF(COUNT(E21:AB21)=0,"",ROUND(AVERAGE(E21:AB21),2))</f>
        <v/>
      </c>
      <c r="AE21" s="4">
        <f>IF(AD21="","",IF(AD21&gt;=3.41,"Baik",IF(AD21&gt;=2.61,"Cukup",IF(AD21&gt;=1.81,"Kurang","Sangat Kurang"))))</f>
        <v/>
      </c>
    </row>
    <row r="22">
      <c r="A22" s="4" t="n">
        <v>19</v>
      </c>
      <c r="B22" s="5" t="n"/>
      <c r="C22" s="5" t="n"/>
      <c r="D22" s="5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>
        <f>SUM(E22:AB22)</f>
        <v/>
      </c>
      <c r="AD22" s="4">
        <f>IF(COUNT(E22:AB22)=0,"",ROUND(AVERAGE(E22:AB22),2))</f>
        <v/>
      </c>
      <c r="AE22" s="4">
        <f>IF(AD22="","",IF(AD22&gt;=3.41,"Baik",IF(AD22&gt;=2.61,"Cukup",IF(AD22&gt;=1.81,"Kurang","Sangat Kurang"))))</f>
        <v/>
      </c>
    </row>
    <row r="23">
      <c r="A23" s="4" t="n">
        <v>20</v>
      </c>
      <c r="B23" s="5" t="n"/>
      <c r="C23" s="5" t="n"/>
      <c r="D23" s="5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>
        <f>SUM(E23:AB23)</f>
        <v/>
      </c>
      <c r="AD23" s="4">
        <f>IF(COUNT(E23:AB23)=0,"",ROUND(AVERAGE(E23:AB23),2))</f>
        <v/>
      </c>
      <c r="AE23" s="4">
        <f>IF(AD23="","",IF(AD23&gt;=3.41,"Baik",IF(AD23&gt;=2.61,"Cukup",IF(AD23&gt;=1.81,"Kurang","Sangat Kurang"))))</f>
        <v/>
      </c>
    </row>
  </sheetData>
  <mergeCells count="2">
    <mergeCell ref="A1:AE1"/>
    <mergeCell ref="A2:AE2"/>
  </mergeCells>
  <dataValidations count="1">
    <dataValidation sqref="E4:AB23" showDropDown="0" showInputMessage="0" showErrorMessage="0" allowBlank="1" errorTitle="Skor tidak valid" error="Masukkan angka 1 - 5." promptTitle="Skor Likert" prompt="1 = STS, 2 = TS, 3 = C, 4 = S, 5 = SS" type="whole" operator="between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75" customWidth="1" min="3" max="3"/>
    <col width="12" customWidth="1" min="4" max="4"/>
  </cols>
  <sheetData>
    <row r="1">
      <c r="A1" s="6" t="inlineStr">
        <is>
          <t>DAFTAR PERNYATAAN KUESIONER &amp; KONVERSI SKOR</t>
        </is>
      </c>
    </row>
    <row r="2">
      <c r="A2" s="7" t="inlineStr">
        <is>
          <t>No</t>
        </is>
      </c>
      <c r="B2" s="7" t="inlineStr">
        <is>
          <t>Aspek</t>
        </is>
      </c>
      <c r="C2" s="7" t="inlineStr">
        <is>
          <t>Pernyataan</t>
        </is>
      </c>
      <c r="D2" s="7" t="inlineStr">
        <is>
          <t>Referensi Sel</t>
        </is>
      </c>
    </row>
    <row r="3">
      <c r="A3" s="8" t="n">
        <v>1</v>
      </c>
      <c r="B3" s="9" t="inlineStr">
        <is>
          <t>A</t>
        </is>
      </c>
      <c r="C3" s="8" t="inlineStr">
        <is>
          <t>Proses login mudah dan cepat dilakukan.</t>
        </is>
      </c>
      <c r="D3" s="8" t="inlineStr">
        <is>
          <t>K1</t>
        </is>
      </c>
    </row>
    <row r="4">
      <c r="A4" s="8" t="n">
        <v>2</v>
      </c>
      <c r="B4" s="9" t="inlineStr">
        <is>
          <t>A</t>
        </is>
      </c>
      <c r="C4" s="8" t="inlineStr">
        <is>
          <t>Pesan saat login gagal (kata sandi salah / akun nonaktif) tampil jelas.</t>
        </is>
      </c>
      <c r="D4" s="8" t="inlineStr">
        <is>
          <t>K2</t>
        </is>
      </c>
    </row>
    <row r="5">
      <c r="A5" s="8" t="n">
        <v>3</v>
      </c>
      <c r="B5" s="9" t="inlineStr">
        <is>
          <t>A</t>
        </is>
      </c>
      <c r="C5" s="8" t="inlineStr">
        <is>
          <t>Tombol logout berfungsi dengan baik dan mengakhiri sesi.</t>
        </is>
      </c>
      <c r="D5" s="8" t="inlineStr">
        <is>
          <t>K3</t>
        </is>
      </c>
    </row>
    <row r="6">
      <c r="A6" s="8" t="n">
        <v>4</v>
      </c>
      <c r="B6" s="9" t="inlineStr">
        <is>
          <t>B</t>
        </is>
      </c>
      <c r="C6" s="8" t="inlineStr">
        <is>
          <t>Proses scan barcode/QR cepat dan responsif.</t>
        </is>
      </c>
      <c r="D6" s="8" t="inlineStr">
        <is>
          <t>K4</t>
        </is>
      </c>
    </row>
    <row r="7">
      <c r="A7" s="8" t="n">
        <v>5</v>
      </c>
      <c r="B7" s="9" t="inlineStr">
        <is>
          <t>B</t>
        </is>
      </c>
      <c r="C7" s="8" t="inlineStr">
        <is>
          <t>Hasil scan (Hadir/Terlambat) tampil dengan jelas di layar.</t>
        </is>
      </c>
      <c r="D7" s="8" t="inlineStr">
        <is>
          <t>K5</t>
        </is>
      </c>
    </row>
    <row r="8">
      <c r="A8" s="8" t="n">
        <v>6</v>
      </c>
      <c r="B8" s="9" t="inlineStr">
        <is>
          <t>B</t>
        </is>
      </c>
      <c r="C8" s="8" t="inlineStr">
        <is>
          <t>Pesan saat barcode tidak dikenal mudah dipahami.</t>
        </is>
      </c>
      <c r="D8" s="8" t="inlineStr">
        <is>
          <t>K6</t>
        </is>
      </c>
    </row>
    <row r="9">
      <c r="A9" s="8" t="n">
        <v>7</v>
      </c>
      <c r="B9" s="9" t="inlineStr">
        <is>
          <t>B</t>
        </is>
      </c>
      <c r="C9" s="8" t="inlineStr">
        <is>
          <t>Scan berulang pada hari yang sama tidak menimbulkan catatan ganda.</t>
        </is>
      </c>
      <c r="D9" s="8" t="inlineStr">
        <is>
          <t>K7</t>
        </is>
      </c>
    </row>
    <row r="10">
      <c r="A10" s="8" t="n">
        <v>8</v>
      </c>
      <c r="B10" s="9" t="inlineStr">
        <is>
          <t>C</t>
        </is>
      </c>
      <c r="C10" s="8" t="inlineStr">
        <is>
          <t>Formulir absensi manual mudah digunakan.</t>
        </is>
      </c>
      <c r="D10" s="8" t="inlineStr">
        <is>
          <t>K8</t>
        </is>
      </c>
    </row>
    <row r="11">
      <c r="A11" s="8" t="n">
        <v>9</v>
      </c>
      <c r="B11" s="9" t="inlineStr">
        <is>
          <t>C</t>
        </is>
      </c>
      <c r="C11" s="8" t="inlineStr">
        <is>
          <t>Daftar status (Hadir/Izin/Sakit/Terlambat/Alpa) lengkap.</t>
        </is>
      </c>
      <c r="D11" s="8" t="inlineStr">
        <is>
          <t>K9</t>
        </is>
      </c>
    </row>
    <row r="12">
      <c r="A12" s="8" t="n">
        <v>10</v>
      </c>
      <c r="B12" s="9" t="inlineStr">
        <is>
          <t>C</t>
        </is>
      </c>
      <c r="C12" s="8" t="inlineStr">
        <is>
          <t>Data absensi manual tersimpan dengan benar dan sesuai.</t>
        </is>
      </c>
      <c r="D12" s="8" t="inlineStr">
        <is>
          <t>K10</t>
        </is>
      </c>
    </row>
    <row r="13">
      <c r="A13" s="8" t="n">
        <v>11</v>
      </c>
      <c r="B13" s="9" t="inlineStr">
        <is>
          <t>D</t>
        </is>
      </c>
      <c r="C13" s="8" t="inlineStr">
        <is>
          <t>Formulir tambah/ubah data siswa mudah diisi.</t>
        </is>
      </c>
      <c r="D13" s="8" t="inlineStr">
        <is>
          <t>K11</t>
        </is>
      </c>
    </row>
    <row r="14">
      <c r="A14" s="8" t="n">
        <v>12</v>
      </c>
      <c r="B14" s="9" t="inlineStr">
        <is>
          <t>D</t>
        </is>
      </c>
      <c r="C14" s="8" t="inlineStr">
        <is>
          <t>Validasi data (NIS duplikat, data wajib) berfungsi dengan benar.</t>
        </is>
      </c>
      <c r="D14" s="8" t="inlineStr">
        <is>
          <t>K12</t>
        </is>
      </c>
    </row>
    <row r="15">
      <c r="A15" s="8" t="n">
        <v>13</v>
      </c>
      <c r="B15" s="9" t="inlineStr">
        <is>
          <t>D</t>
        </is>
      </c>
      <c r="C15" s="8" t="inlineStr">
        <is>
          <t>Daftar siswa dan kelas mudah dibaca dan dicari.</t>
        </is>
      </c>
      <c r="D15" s="8" t="inlineStr">
        <is>
          <t>K13</t>
        </is>
      </c>
    </row>
    <row r="16">
      <c r="A16" s="8" t="n">
        <v>14</v>
      </c>
      <c r="B16" s="9" t="inlineStr">
        <is>
          <t>D</t>
        </is>
      </c>
      <c r="C16" s="8" t="inlineStr">
        <is>
          <t>Pengelolaan pengguna dan pembagian peran sudah tepat.</t>
        </is>
      </c>
      <c r="D16" s="8" t="inlineStr">
        <is>
          <t>K14</t>
        </is>
      </c>
    </row>
    <row r="17">
      <c r="A17" s="8" t="n">
        <v>15</v>
      </c>
      <c r="B17" s="9" t="inlineStr">
        <is>
          <t>E</t>
        </is>
      </c>
      <c r="C17" s="8" t="inlineStr">
        <is>
          <t>Setiap peran hanya dapat mengakses menu yang menjadi haknya.</t>
        </is>
      </c>
      <c r="D17" s="8" t="inlineStr">
        <is>
          <t>K15</t>
        </is>
      </c>
    </row>
    <row r="18">
      <c r="A18" s="8" t="n">
        <v>16</v>
      </c>
      <c r="B18" s="9" t="inlineStr">
        <is>
          <t>E</t>
        </is>
      </c>
      <c r="C18" s="8" t="inlineStr">
        <is>
          <t>Guru hanya melihat data pada kelas walinya.</t>
        </is>
      </c>
      <c r="D18" s="8" t="inlineStr">
        <is>
          <t>K16</t>
        </is>
      </c>
    </row>
    <row r="19">
      <c r="A19" s="8" t="n">
        <v>17</v>
      </c>
      <c r="B19" s="9" t="inlineStr">
        <is>
          <t>E</t>
        </is>
      </c>
      <c r="C19" s="8" t="inlineStr">
        <is>
          <t>Halaman pengaturan sistem hanya dapat diakses admin.</t>
        </is>
      </c>
      <c r="D19" s="8" t="inlineStr">
        <is>
          <t>K17</t>
        </is>
      </c>
    </row>
    <row r="20">
      <c r="A20" s="8" t="n">
        <v>18</v>
      </c>
      <c r="B20" s="9" t="inlineStr">
        <is>
          <t>F</t>
        </is>
      </c>
      <c r="C20" s="8" t="inlineStr">
        <is>
          <t>Laporan mudah difilter berdasarkan tanggal/kelas/status.</t>
        </is>
      </c>
      <c r="D20" s="8" t="inlineStr">
        <is>
          <t>K18</t>
        </is>
      </c>
    </row>
    <row r="21">
      <c r="A21" s="8" t="n">
        <v>19</v>
      </c>
      <c r="B21" s="9" t="inlineStr">
        <is>
          <t>F</t>
        </is>
      </c>
      <c r="C21" s="8" t="inlineStr">
        <is>
          <t>Hasil ekspor Excel sesuai dengan data laporan.</t>
        </is>
      </c>
      <c r="D21" s="8" t="inlineStr">
        <is>
          <t>K19</t>
        </is>
      </c>
    </row>
    <row r="22">
      <c r="A22" s="8" t="n">
        <v>20</v>
      </c>
      <c r="B22" s="9" t="inlineStr">
        <is>
          <t>F</t>
        </is>
      </c>
      <c r="C22" s="8" t="inlineStr">
        <is>
          <t>Hasil ekspor PDF rapi dan mudah dicetak.</t>
        </is>
      </c>
      <c r="D22" s="8" t="inlineStr">
        <is>
          <t>K20</t>
        </is>
      </c>
    </row>
    <row r="23">
      <c r="A23" s="8" t="n">
        <v>21</v>
      </c>
      <c r="B23" s="9" t="inlineStr">
        <is>
          <t>G</t>
        </is>
      </c>
      <c r="C23" s="8" t="inlineStr">
        <is>
          <t>Tampilan aplikasi menarik dan mudah dipahami.</t>
        </is>
      </c>
      <c r="D23" s="8" t="inlineStr">
        <is>
          <t>K21</t>
        </is>
      </c>
    </row>
    <row r="24">
      <c r="A24" s="8" t="n">
        <v>22</v>
      </c>
      <c r="B24" s="9" t="inlineStr">
        <is>
          <t>G</t>
        </is>
      </c>
      <c r="C24" s="8" t="inlineStr">
        <is>
          <t>Halaman aplikasi dimuat dengan cepat.</t>
        </is>
      </c>
      <c r="D24" s="8" t="inlineStr">
        <is>
          <t>K22</t>
        </is>
      </c>
    </row>
    <row r="25">
      <c r="A25" s="8" t="n">
        <v>23</v>
      </c>
      <c r="B25" s="9" t="inlineStr">
        <is>
          <t>G</t>
        </is>
      </c>
      <c r="C25" s="8" t="inlineStr">
        <is>
          <t>Aplikasi dapat digunakan dengan baik di komputer dan ponsel.</t>
        </is>
      </c>
      <c r="D25" s="8" t="inlineStr">
        <is>
          <t>K23</t>
        </is>
      </c>
    </row>
    <row r="26">
      <c r="A26" s="8" t="n">
        <v>24</v>
      </c>
      <c r="B26" s="9" t="inlineStr">
        <is>
          <t>G</t>
        </is>
      </c>
      <c r="C26" s="8" t="inlineStr">
        <is>
          <t>Menu dan navigasi mudah ditemukan.</t>
        </is>
      </c>
      <c r="D26" s="8" t="inlineStr">
        <is>
          <t>K24</t>
        </is>
      </c>
    </row>
    <row r="29">
      <c r="A29" s="10" t="inlineStr">
        <is>
          <t>KONVERSI SKOR</t>
        </is>
      </c>
    </row>
    <row r="30">
      <c r="A30" s="4" t="n">
        <v>1</v>
      </c>
      <c r="B30" s="11" t="inlineStr">
        <is>
          <t>STS = Sangat Tidak Setuju</t>
        </is>
      </c>
    </row>
    <row r="31">
      <c r="A31" s="4" t="n">
        <v>2</v>
      </c>
      <c r="B31" s="11" t="inlineStr">
        <is>
          <t>TS = Tidak Setuju</t>
        </is>
      </c>
    </row>
    <row r="32">
      <c r="A32" s="4" t="n">
        <v>3</v>
      </c>
      <c r="B32" s="11" t="inlineStr">
        <is>
          <t>C = Cukup</t>
        </is>
      </c>
    </row>
    <row r="33">
      <c r="A33" s="4" t="n">
        <v>4</v>
      </c>
      <c r="B33" s="11" t="inlineStr">
        <is>
          <t>S = Setuju</t>
        </is>
      </c>
    </row>
    <row r="34">
      <c r="A34" s="4" t="n">
        <v>5</v>
      </c>
      <c r="B34" s="11" t="inlineStr">
        <is>
          <t>SS = Sangat Setuju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</cols>
  <sheetData>
    <row r="1">
      <c r="A1" s="6" t="inlineStr">
        <is>
          <t>REKAPITULASI RATA-RATA SKOR PER ASPEK (A - G) x PER RESPONDEN</t>
        </is>
      </c>
    </row>
    <row r="2">
      <c r="A2" s="3" t="inlineStr">
        <is>
          <t>Aspek</t>
        </is>
      </c>
      <c r="B2" s="3" t="inlineStr">
        <is>
          <t>Keterangan</t>
        </is>
      </c>
      <c r="C2" s="3" t="inlineStr">
        <is>
          <t>Responden 1</t>
        </is>
      </c>
      <c r="D2" s="3" t="inlineStr">
        <is>
          <t>Responden 2</t>
        </is>
      </c>
      <c r="E2" s="3" t="inlineStr">
        <is>
          <t>Responden 3</t>
        </is>
      </c>
      <c r="F2" s="3" t="inlineStr">
        <is>
          <t>Responden 4</t>
        </is>
      </c>
      <c r="G2" s="3" t="inlineStr">
        <is>
          <t>Responden 5</t>
        </is>
      </c>
      <c r="H2" s="3" t="inlineStr">
        <is>
          <t>Responden 6</t>
        </is>
      </c>
      <c r="I2" s="3" t="inlineStr">
        <is>
          <t>Responden 7</t>
        </is>
      </c>
      <c r="J2" s="3" t="inlineStr">
        <is>
          <t>Responden 8</t>
        </is>
      </c>
      <c r="K2" s="3" t="inlineStr">
        <is>
          <t>Responden 9</t>
        </is>
      </c>
      <c r="L2" s="3" t="inlineStr">
        <is>
          <t>Responden 10</t>
        </is>
      </c>
      <c r="M2" s="3" t="inlineStr">
        <is>
          <t>Responden 11</t>
        </is>
      </c>
      <c r="N2" s="3" t="inlineStr">
        <is>
          <t>Responden 12</t>
        </is>
      </c>
      <c r="O2" s="3" t="inlineStr">
        <is>
          <t>Responden 13</t>
        </is>
      </c>
      <c r="P2" s="3" t="inlineStr">
        <is>
          <t>Responden 14</t>
        </is>
      </c>
      <c r="Q2" s="3" t="inlineStr">
        <is>
          <t>Responden 15</t>
        </is>
      </c>
      <c r="R2" s="3" t="inlineStr">
        <is>
          <t>Responden 16</t>
        </is>
      </c>
      <c r="S2" s="3" t="inlineStr">
        <is>
          <t>Responden 17</t>
        </is>
      </c>
      <c r="T2" s="3" t="inlineStr">
        <is>
          <t>Responden 18</t>
        </is>
      </c>
      <c r="U2" s="3" t="inlineStr">
        <is>
          <t>Responden 19</t>
        </is>
      </c>
      <c r="V2" s="3" t="inlineStr">
        <is>
          <t>Responden 20</t>
        </is>
      </c>
      <c r="W2" s="3" t="inlineStr">
        <is>
          <t>Rata-Rata</t>
        </is>
      </c>
      <c r="X2" s="3" t="inlineStr">
        <is>
          <t>Interpretasi</t>
        </is>
      </c>
    </row>
    <row r="3">
      <c r="A3" s="9" t="inlineStr">
        <is>
          <t>A</t>
        </is>
      </c>
      <c r="B3" s="8" t="inlineStr">
        <is>
          <t>Autentikasi</t>
        </is>
      </c>
      <c r="C3" s="9">
        <f>ROUND(AVERAGE(Responden!E4:G4),2)</f>
        <v/>
      </c>
      <c r="D3" s="9">
        <f>ROUND(AVERAGE(Responden!E5:G5),2)</f>
        <v/>
      </c>
      <c r="E3" s="9">
        <f>ROUND(AVERAGE(Responden!E6:G6),2)</f>
        <v/>
      </c>
      <c r="F3" s="9">
        <f>ROUND(AVERAGE(Responden!E7:G7),2)</f>
        <v/>
      </c>
      <c r="G3" s="9">
        <f>ROUND(AVERAGE(Responden!E8:G8),2)</f>
        <v/>
      </c>
      <c r="H3" s="9">
        <f>ROUND(AVERAGE(Responden!E9:G9),2)</f>
        <v/>
      </c>
      <c r="I3" s="9">
        <f>ROUND(AVERAGE(Responden!E10:G10),2)</f>
        <v/>
      </c>
      <c r="J3" s="9">
        <f>ROUND(AVERAGE(Responden!E11:G11),2)</f>
        <v/>
      </c>
      <c r="K3" s="9">
        <f>ROUND(AVERAGE(Responden!E12:G12),2)</f>
        <v/>
      </c>
      <c r="L3" s="9">
        <f>ROUND(AVERAGE(Responden!E13:G13),2)</f>
        <v/>
      </c>
      <c r="M3" s="9">
        <f>ROUND(AVERAGE(Responden!E14:G14),2)</f>
        <v/>
      </c>
      <c r="N3" s="9">
        <f>ROUND(AVERAGE(Responden!E15:G15),2)</f>
        <v/>
      </c>
      <c r="O3" s="9">
        <f>ROUND(AVERAGE(Responden!E16:G16),2)</f>
        <v/>
      </c>
      <c r="P3" s="9">
        <f>ROUND(AVERAGE(Responden!E17:G17),2)</f>
        <v/>
      </c>
      <c r="Q3" s="9">
        <f>ROUND(AVERAGE(Responden!E18:G18),2)</f>
        <v/>
      </c>
      <c r="R3" s="9">
        <f>ROUND(AVERAGE(Responden!E19:G19),2)</f>
        <v/>
      </c>
      <c r="S3" s="9">
        <f>ROUND(AVERAGE(Responden!E20:G20),2)</f>
        <v/>
      </c>
      <c r="T3" s="9">
        <f>ROUND(AVERAGE(Responden!E21:G21),2)</f>
        <v/>
      </c>
      <c r="U3" s="9">
        <f>ROUND(AVERAGE(Responden!E22:G22),2)</f>
        <v/>
      </c>
      <c r="V3" s="9">
        <f>ROUND(AVERAGE(Responden!E23:G23),2)</f>
        <v/>
      </c>
      <c r="W3" s="9">
        <f>ROUND(AVERAGE(C3:V3),2)</f>
        <v/>
      </c>
      <c r="X3" s="9">
        <f>IF(W3="","",IF(W3&gt;=3.41,"Baik",IF(W3&gt;=2.61,"Cukup",IF(W3&gt;=1.81,"Kurang","Sangat Kurang"))))</f>
        <v/>
      </c>
    </row>
    <row r="4">
      <c r="A4" s="9" t="inlineStr">
        <is>
          <t>B</t>
        </is>
      </c>
      <c r="B4" s="8" t="inlineStr">
        <is>
          <t>Scan Absensi</t>
        </is>
      </c>
      <c r="C4" s="9">
        <f>ROUND(AVERAGE(Responden!H4:K4),2)</f>
        <v/>
      </c>
      <c r="D4" s="9">
        <f>ROUND(AVERAGE(Responden!H5:K5),2)</f>
        <v/>
      </c>
      <c r="E4" s="9">
        <f>ROUND(AVERAGE(Responden!H6:K6),2)</f>
        <v/>
      </c>
      <c r="F4" s="9">
        <f>ROUND(AVERAGE(Responden!H7:K7),2)</f>
        <v/>
      </c>
      <c r="G4" s="9">
        <f>ROUND(AVERAGE(Responden!H8:K8),2)</f>
        <v/>
      </c>
      <c r="H4" s="9">
        <f>ROUND(AVERAGE(Responden!H9:K9),2)</f>
        <v/>
      </c>
      <c r="I4" s="9">
        <f>ROUND(AVERAGE(Responden!H10:K10),2)</f>
        <v/>
      </c>
      <c r="J4" s="9">
        <f>ROUND(AVERAGE(Responden!H11:K11),2)</f>
        <v/>
      </c>
      <c r="K4" s="9">
        <f>ROUND(AVERAGE(Responden!H12:K12),2)</f>
        <v/>
      </c>
      <c r="L4" s="9">
        <f>ROUND(AVERAGE(Responden!H13:K13),2)</f>
        <v/>
      </c>
      <c r="M4" s="9">
        <f>ROUND(AVERAGE(Responden!H14:K14),2)</f>
        <v/>
      </c>
      <c r="N4" s="9">
        <f>ROUND(AVERAGE(Responden!H15:K15),2)</f>
        <v/>
      </c>
      <c r="O4" s="9">
        <f>ROUND(AVERAGE(Responden!H16:K16),2)</f>
        <v/>
      </c>
      <c r="P4" s="9">
        <f>ROUND(AVERAGE(Responden!H17:K17),2)</f>
        <v/>
      </c>
      <c r="Q4" s="9">
        <f>ROUND(AVERAGE(Responden!H18:K18),2)</f>
        <v/>
      </c>
      <c r="R4" s="9">
        <f>ROUND(AVERAGE(Responden!H19:K19),2)</f>
        <v/>
      </c>
      <c r="S4" s="9">
        <f>ROUND(AVERAGE(Responden!H20:K20),2)</f>
        <v/>
      </c>
      <c r="T4" s="9">
        <f>ROUND(AVERAGE(Responden!H21:K21),2)</f>
        <v/>
      </c>
      <c r="U4" s="9">
        <f>ROUND(AVERAGE(Responden!H22:K22),2)</f>
        <v/>
      </c>
      <c r="V4" s="9">
        <f>ROUND(AVERAGE(Responden!H23:K23),2)</f>
        <v/>
      </c>
      <c r="W4" s="9">
        <f>ROUND(AVERAGE(C4:V4),2)</f>
        <v/>
      </c>
      <c r="X4" s="9">
        <f>IF(W4="","",IF(W4&gt;=3.41,"Baik",IF(W4&gt;=2.61,"Cukup",IF(W4&gt;=1.81,"Kurang","Sangat Kurang"))))</f>
        <v/>
      </c>
    </row>
    <row r="5">
      <c r="A5" s="9" t="inlineStr">
        <is>
          <t>C</t>
        </is>
      </c>
      <c r="B5" s="8" t="inlineStr">
        <is>
          <t>Absensi Manual</t>
        </is>
      </c>
      <c r="C5" s="9">
        <f>ROUND(AVERAGE(Responden!L4:N4),2)</f>
        <v/>
      </c>
      <c r="D5" s="9">
        <f>ROUND(AVERAGE(Responden!L5:N5),2)</f>
        <v/>
      </c>
      <c r="E5" s="9">
        <f>ROUND(AVERAGE(Responden!L6:N6),2)</f>
        <v/>
      </c>
      <c r="F5" s="9">
        <f>ROUND(AVERAGE(Responden!L7:N7),2)</f>
        <v/>
      </c>
      <c r="G5" s="9">
        <f>ROUND(AVERAGE(Responden!L8:N8),2)</f>
        <v/>
      </c>
      <c r="H5" s="9">
        <f>ROUND(AVERAGE(Responden!L9:N9),2)</f>
        <v/>
      </c>
      <c r="I5" s="9">
        <f>ROUND(AVERAGE(Responden!L10:N10),2)</f>
        <v/>
      </c>
      <c r="J5" s="9">
        <f>ROUND(AVERAGE(Responden!L11:N11),2)</f>
        <v/>
      </c>
      <c r="K5" s="9">
        <f>ROUND(AVERAGE(Responden!L12:N12),2)</f>
        <v/>
      </c>
      <c r="L5" s="9">
        <f>ROUND(AVERAGE(Responden!L13:N13),2)</f>
        <v/>
      </c>
      <c r="M5" s="9">
        <f>ROUND(AVERAGE(Responden!L14:N14),2)</f>
        <v/>
      </c>
      <c r="N5" s="9">
        <f>ROUND(AVERAGE(Responden!L15:N15),2)</f>
        <v/>
      </c>
      <c r="O5" s="9">
        <f>ROUND(AVERAGE(Responden!L16:N16),2)</f>
        <v/>
      </c>
      <c r="P5" s="9">
        <f>ROUND(AVERAGE(Responden!L17:N17),2)</f>
        <v/>
      </c>
      <c r="Q5" s="9">
        <f>ROUND(AVERAGE(Responden!L18:N18),2)</f>
        <v/>
      </c>
      <c r="R5" s="9">
        <f>ROUND(AVERAGE(Responden!L19:N19),2)</f>
        <v/>
      </c>
      <c r="S5" s="9">
        <f>ROUND(AVERAGE(Responden!L20:N20),2)</f>
        <v/>
      </c>
      <c r="T5" s="9">
        <f>ROUND(AVERAGE(Responden!L21:N21),2)</f>
        <v/>
      </c>
      <c r="U5" s="9">
        <f>ROUND(AVERAGE(Responden!L22:N22),2)</f>
        <v/>
      </c>
      <c r="V5" s="9">
        <f>ROUND(AVERAGE(Responden!L23:N23),2)</f>
        <v/>
      </c>
      <c r="W5" s="9">
        <f>ROUND(AVERAGE(C5:V5),2)</f>
        <v/>
      </c>
      <c r="X5" s="9">
        <f>IF(W5="","",IF(W5&gt;=3.41,"Baik",IF(W5&gt;=2.61,"Cukup",IF(W5&gt;=1.81,"Kurang","Sangat Kurang"))))</f>
        <v/>
      </c>
    </row>
    <row r="6">
      <c r="A6" s="9" t="inlineStr">
        <is>
          <t>D</t>
        </is>
      </c>
      <c r="B6" s="8" t="inlineStr">
        <is>
          <t>Data Siswa/Kelas/Pengguna</t>
        </is>
      </c>
      <c r="C6" s="9">
        <f>ROUND(AVERAGE(Responden!O4:R4),2)</f>
        <v/>
      </c>
      <c r="D6" s="9">
        <f>ROUND(AVERAGE(Responden!O5:R5),2)</f>
        <v/>
      </c>
      <c r="E6" s="9">
        <f>ROUND(AVERAGE(Responden!O6:R6),2)</f>
        <v/>
      </c>
      <c r="F6" s="9">
        <f>ROUND(AVERAGE(Responden!O7:R7),2)</f>
        <v/>
      </c>
      <c r="G6" s="9">
        <f>ROUND(AVERAGE(Responden!O8:R8),2)</f>
        <v/>
      </c>
      <c r="H6" s="9">
        <f>ROUND(AVERAGE(Responden!O9:R9),2)</f>
        <v/>
      </c>
      <c r="I6" s="9">
        <f>ROUND(AVERAGE(Responden!O10:R10),2)</f>
        <v/>
      </c>
      <c r="J6" s="9">
        <f>ROUND(AVERAGE(Responden!O11:R11),2)</f>
        <v/>
      </c>
      <c r="K6" s="9">
        <f>ROUND(AVERAGE(Responden!O12:R12),2)</f>
        <v/>
      </c>
      <c r="L6" s="9">
        <f>ROUND(AVERAGE(Responden!O13:R13),2)</f>
        <v/>
      </c>
      <c r="M6" s="9">
        <f>ROUND(AVERAGE(Responden!O14:R14),2)</f>
        <v/>
      </c>
      <c r="N6" s="9">
        <f>ROUND(AVERAGE(Responden!O15:R15),2)</f>
        <v/>
      </c>
      <c r="O6" s="9">
        <f>ROUND(AVERAGE(Responden!O16:R16),2)</f>
        <v/>
      </c>
      <c r="P6" s="9">
        <f>ROUND(AVERAGE(Responden!O17:R17),2)</f>
        <v/>
      </c>
      <c r="Q6" s="9">
        <f>ROUND(AVERAGE(Responden!O18:R18),2)</f>
        <v/>
      </c>
      <c r="R6" s="9">
        <f>ROUND(AVERAGE(Responden!O19:R19),2)</f>
        <v/>
      </c>
      <c r="S6" s="9">
        <f>ROUND(AVERAGE(Responden!O20:R20),2)</f>
        <v/>
      </c>
      <c r="T6" s="9">
        <f>ROUND(AVERAGE(Responden!O21:R21),2)</f>
        <v/>
      </c>
      <c r="U6" s="9">
        <f>ROUND(AVERAGE(Responden!O22:R22),2)</f>
        <v/>
      </c>
      <c r="V6" s="9">
        <f>ROUND(AVERAGE(Responden!O23:R23),2)</f>
        <v/>
      </c>
      <c r="W6" s="9">
        <f>ROUND(AVERAGE(C6:V6),2)</f>
        <v/>
      </c>
      <c r="X6" s="9">
        <f>IF(W6="","",IF(W6&gt;=3.41,"Baik",IF(W6&gt;=2.61,"Cukup",IF(W6&gt;=1.81,"Kurang","Sangat Kurang"))))</f>
        <v/>
      </c>
    </row>
    <row r="7">
      <c r="A7" s="9" t="inlineStr">
        <is>
          <t>E</t>
        </is>
      </c>
      <c r="B7" s="8" t="inlineStr">
        <is>
          <t>Hak Akses dan Keamanan</t>
        </is>
      </c>
      <c r="C7" s="9">
        <f>ROUND(AVERAGE(Responden!S4:U4),2)</f>
        <v/>
      </c>
      <c r="D7" s="9">
        <f>ROUND(AVERAGE(Responden!S5:U5),2)</f>
        <v/>
      </c>
      <c r="E7" s="9">
        <f>ROUND(AVERAGE(Responden!S6:U6),2)</f>
        <v/>
      </c>
      <c r="F7" s="9">
        <f>ROUND(AVERAGE(Responden!S7:U7),2)</f>
        <v/>
      </c>
      <c r="G7" s="9">
        <f>ROUND(AVERAGE(Responden!S8:U8),2)</f>
        <v/>
      </c>
      <c r="H7" s="9">
        <f>ROUND(AVERAGE(Responden!S9:U9),2)</f>
        <v/>
      </c>
      <c r="I7" s="9">
        <f>ROUND(AVERAGE(Responden!S10:U10),2)</f>
        <v/>
      </c>
      <c r="J7" s="9">
        <f>ROUND(AVERAGE(Responden!S11:U11),2)</f>
        <v/>
      </c>
      <c r="K7" s="9">
        <f>ROUND(AVERAGE(Responden!S12:U12),2)</f>
        <v/>
      </c>
      <c r="L7" s="9">
        <f>ROUND(AVERAGE(Responden!S13:U13),2)</f>
        <v/>
      </c>
      <c r="M7" s="9">
        <f>ROUND(AVERAGE(Responden!S14:U14),2)</f>
        <v/>
      </c>
      <c r="N7" s="9">
        <f>ROUND(AVERAGE(Responden!S15:U15),2)</f>
        <v/>
      </c>
      <c r="O7" s="9">
        <f>ROUND(AVERAGE(Responden!S16:U16),2)</f>
        <v/>
      </c>
      <c r="P7" s="9">
        <f>ROUND(AVERAGE(Responden!S17:U17),2)</f>
        <v/>
      </c>
      <c r="Q7" s="9">
        <f>ROUND(AVERAGE(Responden!S18:U18),2)</f>
        <v/>
      </c>
      <c r="R7" s="9">
        <f>ROUND(AVERAGE(Responden!S19:U19),2)</f>
        <v/>
      </c>
      <c r="S7" s="9">
        <f>ROUND(AVERAGE(Responden!S20:U20),2)</f>
        <v/>
      </c>
      <c r="T7" s="9">
        <f>ROUND(AVERAGE(Responden!S21:U21),2)</f>
        <v/>
      </c>
      <c r="U7" s="9">
        <f>ROUND(AVERAGE(Responden!S22:U22),2)</f>
        <v/>
      </c>
      <c r="V7" s="9">
        <f>ROUND(AVERAGE(Responden!S23:U23),2)</f>
        <v/>
      </c>
      <c r="W7" s="9">
        <f>ROUND(AVERAGE(C7:V7),2)</f>
        <v/>
      </c>
      <c r="X7" s="9">
        <f>IF(W7="","",IF(W7&gt;=3.41,"Baik",IF(W7&gt;=2.61,"Cukup",IF(W7&gt;=1.81,"Kurang","Sangat Kurang"))))</f>
        <v/>
      </c>
    </row>
    <row r="8">
      <c r="A8" s="9" t="inlineStr">
        <is>
          <t>F</t>
        </is>
      </c>
      <c r="B8" s="8" t="inlineStr">
        <is>
          <t>Laporan dan Ekspor</t>
        </is>
      </c>
      <c r="C8" s="9">
        <f>ROUND(AVERAGE(Responden!V4:X4),2)</f>
        <v/>
      </c>
      <c r="D8" s="9">
        <f>ROUND(AVERAGE(Responden!V5:X5),2)</f>
        <v/>
      </c>
      <c r="E8" s="9">
        <f>ROUND(AVERAGE(Responden!V6:X6),2)</f>
        <v/>
      </c>
      <c r="F8" s="9">
        <f>ROUND(AVERAGE(Responden!V7:X7),2)</f>
        <v/>
      </c>
      <c r="G8" s="9">
        <f>ROUND(AVERAGE(Responden!V8:X8),2)</f>
        <v/>
      </c>
      <c r="H8" s="9">
        <f>ROUND(AVERAGE(Responden!V9:X9),2)</f>
        <v/>
      </c>
      <c r="I8" s="9">
        <f>ROUND(AVERAGE(Responden!V10:X10),2)</f>
        <v/>
      </c>
      <c r="J8" s="9">
        <f>ROUND(AVERAGE(Responden!V11:X11),2)</f>
        <v/>
      </c>
      <c r="K8" s="9">
        <f>ROUND(AVERAGE(Responden!V12:X12),2)</f>
        <v/>
      </c>
      <c r="L8" s="9">
        <f>ROUND(AVERAGE(Responden!V13:X13),2)</f>
        <v/>
      </c>
      <c r="M8" s="9">
        <f>ROUND(AVERAGE(Responden!V14:X14),2)</f>
        <v/>
      </c>
      <c r="N8" s="9">
        <f>ROUND(AVERAGE(Responden!V15:X15),2)</f>
        <v/>
      </c>
      <c r="O8" s="9">
        <f>ROUND(AVERAGE(Responden!V16:X16),2)</f>
        <v/>
      </c>
      <c r="P8" s="9">
        <f>ROUND(AVERAGE(Responden!V17:X17),2)</f>
        <v/>
      </c>
      <c r="Q8" s="9">
        <f>ROUND(AVERAGE(Responden!V18:X18),2)</f>
        <v/>
      </c>
      <c r="R8" s="9">
        <f>ROUND(AVERAGE(Responden!V19:X19),2)</f>
        <v/>
      </c>
      <c r="S8" s="9">
        <f>ROUND(AVERAGE(Responden!V20:X20),2)</f>
        <v/>
      </c>
      <c r="T8" s="9">
        <f>ROUND(AVERAGE(Responden!V21:X21),2)</f>
        <v/>
      </c>
      <c r="U8" s="9">
        <f>ROUND(AVERAGE(Responden!V22:X22),2)</f>
        <v/>
      </c>
      <c r="V8" s="9">
        <f>ROUND(AVERAGE(Responden!V23:X23),2)</f>
        <v/>
      </c>
      <c r="W8" s="9">
        <f>ROUND(AVERAGE(C8:V8),2)</f>
        <v/>
      </c>
      <c r="X8" s="9">
        <f>IF(W8="","",IF(W8&gt;=3.41,"Baik",IF(W8&gt;=2.61,"Cukup",IF(W8&gt;=1.81,"Kurang","Sangat Kurang"))))</f>
        <v/>
      </c>
    </row>
    <row r="9">
      <c r="A9" s="9" t="inlineStr">
        <is>
          <t>G</t>
        </is>
      </c>
      <c r="B9" s="8" t="inlineStr">
        <is>
          <t>Tampilan dan Kinerja</t>
        </is>
      </c>
      <c r="C9" s="9">
        <f>ROUND(AVERAGE(Responden!Y4:AB4),2)</f>
        <v/>
      </c>
      <c r="D9" s="9">
        <f>ROUND(AVERAGE(Responden!Y5:AB5),2)</f>
        <v/>
      </c>
      <c r="E9" s="9">
        <f>ROUND(AVERAGE(Responden!Y6:AB6),2)</f>
        <v/>
      </c>
      <c r="F9" s="9">
        <f>ROUND(AVERAGE(Responden!Y7:AB7),2)</f>
        <v/>
      </c>
      <c r="G9" s="9">
        <f>ROUND(AVERAGE(Responden!Y8:AB8),2)</f>
        <v/>
      </c>
      <c r="H9" s="9">
        <f>ROUND(AVERAGE(Responden!Y9:AB9),2)</f>
        <v/>
      </c>
      <c r="I9" s="9">
        <f>ROUND(AVERAGE(Responden!Y10:AB10),2)</f>
        <v/>
      </c>
      <c r="J9" s="9">
        <f>ROUND(AVERAGE(Responden!Y11:AB11),2)</f>
        <v/>
      </c>
      <c r="K9" s="9">
        <f>ROUND(AVERAGE(Responden!Y12:AB12),2)</f>
        <v/>
      </c>
      <c r="L9" s="9">
        <f>ROUND(AVERAGE(Responden!Y13:AB13),2)</f>
        <v/>
      </c>
      <c r="M9" s="9">
        <f>ROUND(AVERAGE(Responden!Y14:AB14),2)</f>
        <v/>
      </c>
      <c r="N9" s="9">
        <f>ROUND(AVERAGE(Responden!Y15:AB15),2)</f>
        <v/>
      </c>
      <c r="O9" s="9">
        <f>ROUND(AVERAGE(Responden!Y16:AB16),2)</f>
        <v/>
      </c>
      <c r="P9" s="9">
        <f>ROUND(AVERAGE(Responden!Y17:AB17),2)</f>
        <v/>
      </c>
      <c r="Q9" s="9">
        <f>ROUND(AVERAGE(Responden!Y18:AB18),2)</f>
        <v/>
      </c>
      <c r="R9" s="9">
        <f>ROUND(AVERAGE(Responden!Y19:AB19),2)</f>
        <v/>
      </c>
      <c r="S9" s="9">
        <f>ROUND(AVERAGE(Responden!Y20:AB20),2)</f>
        <v/>
      </c>
      <c r="T9" s="9">
        <f>ROUND(AVERAGE(Responden!Y21:AB21),2)</f>
        <v/>
      </c>
      <c r="U9" s="9">
        <f>ROUND(AVERAGE(Responden!Y22:AB22),2)</f>
        <v/>
      </c>
      <c r="V9" s="9">
        <f>ROUND(AVERAGE(Responden!Y23:AB23),2)</f>
        <v/>
      </c>
      <c r="W9" s="9">
        <f>ROUND(AVERAGE(C9:V9),2)</f>
        <v/>
      </c>
      <c r="X9" s="9">
        <f>IF(W9="","",IF(W9&gt;=3.41,"Baik",IF(W9&gt;=2.61,"Cukup",IF(W9&gt;=1.81,"Kurang","Sangat Kurang"))))</f>
        <v/>
      </c>
    </row>
    <row r="10">
      <c r="A10" s="12" t="inlineStr">
        <is>
          <t>RATA</t>
        </is>
      </c>
      <c r="B10" s="12" t="inlineStr">
        <is>
          <t>Rata-rata seluruh aspek</t>
        </is>
      </c>
      <c r="C10" s="12">
        <f>ROUND(AVERAGE(C4:C9),2)</f>
        <v/>
      </c>
      <c r="D10" s="12">
        <f>ROUND(AVERAGE(D4:D9),2)</f>
        <v/>
      </c>
      <c r="E10" s="12">
        <f>ROUND(AVERAGE(E4:E9),2)</f>
        <v/>
      </c>
      <c r="F10" s="12">
        <f>ROUND(AVERAGE(F4:F9),2)</f>
        <v/>
      </c>
      <c r="G10" s="12">
        <f>ROUND(AVERAGE(G4:G9),2)</f>
        <v/>
      </c>
      <c r="H10" s="12">
        <f>ROUND(AVERAGE(H4:H9),2)</f>
        <v/>
      </c>
      <c r="I10" s="12">
        <f>ROUND(AVERAGE(I4:I9),2)</f>
        <v/>
      </c>
      <c r="J10" s="12">
        <f>ROUND(AVERAGE(J4:J9),2)</f>
        <v/>
      </c>
      <c r="K10" s="12">
        <f>ROUND(AVERAGE(K4:K9),2)</f>
        <v/>
      </c>
      <c r="L10" s="12">
        <f>ROUND(AVERAGE(L4:L9),2)</f>
        <v/>
      </c>
      <c r="M10" s="12">
        <f>ROUND(AVERAGE(M4:M9),2)</f>
        <v/>
      </c>
      <c r="N10" s="12">
        <f>ROUND(AVERAGE(N4:N9),2)</f>
        <v/>
      </c>
      <c r="O10" s="12">
        <f>ROUND(AVERAGE(O4:O9),2)</f>
        <v/>
      </c>
      <c r="P10" s="12">
        <f>ROUND(AVERAGE(P4:P9),2)</f>
        <v/>
      </c>
      <c r="Q10" s="12">
        <f>ROUND(AVERAGE(Q4:Q9),2)</f>
        <v/>
      </c>
      <c r="R10" s="12">
        <f>ROUND(AVERAGE(R4:R9),2)</f>
        <v/>
      </c>
      <c r="S10" s="12">
        <f>ROUND(AVERAGE(S4:S9),2)</f>
        <v/>
      </c>
      <c r="T10" s="12">
        <f>ROUND(AVERAGE(T4:T9),2)</f>
        <v/>
      </c>
      <c r="U10" s="12">
        <f>ROUND(AVERAGE(U4:U9),2)</f>
        <v/>
      </c>
      <c r="V10" s="12">
        <f>ROUND(AVERAGE(V4:V9),2)</f>
        <v/>
      </c>
      <c r="W10" s="12">
        <f>ROUND(AVERAGE(C10:V10),2)</f>
        <v/>
      </c>
      <c r="X10" s="12">
        <f>IF(W10="","",IF(W10&gt;=3.41,"Baik",IF(W10&gt;=2.61,"Cukup",IF(W10&gt;=1.81,"Kurang","Sangat Kurang"))))</f>
        <v/>
      </c>
    </row>
  </sheetData>
  <mergeCells count="1">
    <mergeCell ref="A1:V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46" customWidth="1" min="3" max="3"/>
  </cols>
  <sheetData>
    <row r="1">
      <c r="A1" s="6" t="inlineStr">
        <is>
          <t>RINGKASAN HASIL UAT DAN INTERPRETASI SKOR</t>
        </is>
      </c>
    </row>
    <row r="3">
      <c r="A3" s="13" t="inlineStr">
        <is>
          <t>Jumlah Responden</t>
        </is>
      </c>
      <c r="B3" s="14">
        <f>COUNTA(Responden!B4:B27)</f>
        <v/>
      </c>
    </row>
    <row r="4">
      <c r="A4" s="13" t="inlineStr">
        <is>
          <t>Responden Admin</t>
        </is>
      </c>
      <c r="B4" s="14">
        <f>COUNTIF(Responden!C4:C27,"*Admin*")</f>
        <v/>
      </c>
    </row>
    <row r="5">
      <c r="A5" s="13" t="inlineStr">
        <is>
          <t>Responden Guru</t>
        </is>
      </c>
      <c r="B5" s="14">
        <f>COUNTIF(Responden!C4:C27,"*Guru*")</f>
        <v/>
      </c>
    </row>
    <row r="6">
      <c r="A6" s="13" t="inlineStr">
        <is>
          <t>Responden dan Siswa</t>
        </is>
      </c>
      <c r="B6" s="14">
        <f>COUNTIF(Responden!C4:C27,"*Siswa*")</f>
        <v/>
      </c>
    </row>
    <row r="7">
      <c r="A7" s="13" t="inlineStr">
        <is>
          <t>Rata-rata keseluruhan</t>
        </is>
      </c>
      <c r="B7" s="14">
        <f>IFERROR(ROUND(AVERAGE(Responden!AD4:AD27),2),"perlu data")</f>
        <v/>
      </c>
    </row>
    <row r="10">
      <c r="A10" s="10" t="inlineStr">
        <is>
          <t>INTERPRETASI BERDASARKAN RATA-RATA</t>
        </is>
      </c>
    </row>
    <row r="11">
      <c r="A11" s="7" t="inlineStr">
        <is>
          <t>Rentang Rata-rata</t>
        </is>
      </c>
      <c r="B11" s="7" t="inlineStr">
        <is>
          <t>Interpretasi</t>
        </is>
      </c>
      <c r="C11" s="7" t="inlineStr">
        <is>
          <t>Rekomendasi</t>
        </is>
      </c>
    </row>
    <row r="12">
      <c r="A12" s="9" t="inlineStr">
        <is>
          <t>3.51 - 4.00</t>
        </is>
      </c>
      <c r="B12" s="9" t="inlineStr">
        <is>
          <t>Sangat Baik</t>
        </is>
      </c>
      <c r="C12" s="8" t="inlineStr">
        <is>
          <t>Layak go-live tanpa perbaikan berarti</t>
        </is>
      </c>
    </row>
    <row r="13">
      <c r="A13" s="9" t="inlineStr">
        <is>
          <t>3.01 - 3.50</t>
        </is>
      </c>
      <c r="B13" s="9" t="inlineStr">
        <is>
          <t>Baik</t>
        </is>
      </c>
      <c r="C13" s="8" t="inlineStr">
        <is>
          <t>Layak go-live dengan catatan perbaikan minor</t>
        </is>
      </c>
    </row>
    <row r="14">
      <c r="A14" s="9" t="inlineStr">
        <is>
          <t>2.51 - 3.00</t>
        </is>
      </c>
      <c r="B14" s="9" t="inlineStr">
        <is>
          <t>Cukup</t>
        </is>
      </c>
      <c r="C14" s="8" t="inlineStr">
        <is>
          <t>Ditinjau; perbaikan mayor sebelum go-live</t>
        </is>
      </c>
    </row>
    <row r="15">
      <c r="A15" s="9" t="inlineStr">
        <is>
          <t>1.01 - 2.50</t>
        </is>
      </c>
      <c r="B15" s="9" t="inlineStr">
        <is>
          <t>Kurang</t>
        </is>
      </c>
      <c r="C15" s="8" t="inlineStr">
        <is>
          <t>Perlu banyak perbaikan; belum layak prod</t>
        </is>
      </c>
    </row>
    <row r="16">
      <c r="A16" s="9" t="inlineStr">
        <is>
          <t>0.00 - 1.00</t>
        </is>
      </c>
      <c r="B16" s="9" t="inlineStr">
        <is>
          <t>Sangat Kurang</t>
        </is>
      </c>
      <c r="C16" s="8" t="inlineStr">
        <is>
          <t>Tidak layak; aplikasi perlu ditinjau ulang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2026-08-09T09:27:47Z</dcterms:created>
  <dcterms:modified xmlns:dcterms="http://purl.org/dc/terms/" xmlns:xsi="http://www.w3.org/2001/XMLSchema-instance" xsi:type="dcterms:W3CDTF">2026-08-09T09:27:47Z</dcterms:modified>
</cp:coreProperties>
</file>